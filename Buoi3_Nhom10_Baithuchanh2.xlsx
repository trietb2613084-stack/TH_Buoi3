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nghop" sheetId="1" r:id="rId5"/>
    <sheet state="visible" name="1.SV nganh CNTT" sheetId="2" r:id="rId6"/>
    <sheet state="visible" name="2. SV lop_DI18T9A1 mon NT_CNTT" sheetId="3" r:id="rId7"/>
    <sheet state="visible" name="3. SV_Diem_D_F" sheetId="4" r:id="rId8"/>
    <sheet state="visible" name="4. SV dang ky hoc hon 1 mon" sheetId="5" r:id="rId9"/>
  </sheets>
  <definedNames/>
  <calcPr/>
</workbook>
</file>

<file path=xl/sharedStrings.xml><?xml version="1.0" encoding="utf-8"?>
<sst xmlns="http://schemas.openxmlformats.org/spreadsheetml/2006/main" count="154" uniqueCount="83">
  <si>
    <t>MSSV</t>
  </si>
  <si>
    <t>Ho</t>
  </si>
  <si>
    <t>Ten</t>
  </si>
  <si>
    <t>Ten lop</t>
  </si>
  <si>
    <t>Ma nganh</t>
  </si>
  <si>
    <t>Ten nganh</t>
  </si>
  <si>
    <t>Ma MH</t>
  </si>
  <si>
    <t>Ten MH</t>
  </si>
  <si>
    <t>Tin chi</t>
  </si>
  <si>
    <t>Diem</t>
  </si>
  <si>
    <t>S1800005</t>
  </si>
  <si>
    <t>Le Duy</t>
  </si>
  <si>
    <t>Anh</t>
  </si>
  <si>
    <t>DI18V7A5</t>
  </si>
  <si>
    <t>Information Technology</t>
  </si>
  <si>
    <t>CT179</t>
  </si>
  <si>
    <t>System Administration</t>
  </si>
  <si>
    <t>B</t>
  </si>
  <si>
    <t>B1706575</t>
  </si>
  <si>
    <t>Pham Hai</t>
  </si>
  <si>
    <t>Do</t>
  </si>
  <si>
    <t>DI19V7A2</t>
  </si>
  <si>
    <t>CT178</t>
  </si>
  <si>
    <t>Principles of Operating Systems</t>
  </si>
  <si>
    <t>B1706487</t>
  </si>
  <si>
    <t>Nguyen Tran</t>
  </si>
  <si>
    <t>Le</t>
  </si>
  <si>
    <t>DI19V7A5</t>
  </si>
  <si>
    <t>C+</t>
  </si>
  <si>
    <t>B2000000</t>
  </si>
  <si>
    <t>Mai Thanh</t>
  </si>
  <si>
    <t>Dat</t>
  </si>
  <si>
    <t>F</t>
  </si>
  <si>
    <t xml:space="preserve">C </t>
  </si>
  <si>
    <t>B1809110</t>
  </si>
  <si>
    <t>Thi</t>
  </si>
  <si>
    <t>Dui</t>
  </si>
  <si>
    <t>DI19V7A1</t>
  </si>
  <si>
    <t>B1809222</t>
  </si>
  <si>
    <t xml:space="preserve">Nguyen </t>
  </si>
  <si>
    <t>Duy</t>
  </si>
  <si>
    <t>CT200</t>
  </si>
  <si>
    <t>Fundamentials of Information Technology</t>
  </si>
  <si>
    <t>B1706582</t>
  </si>
  <si>
    <t>Le Trong</t>
  </si>
  <si>
    <t>Hieu</t>
  </si>
  <si>
    <t>B1809497</t>
  </si>
  <si>
    <t>Luong Thi</t>
  </si>
  <si>
    <t>Ni</t>
  </si>
  <si>
    <t>DI19V7A4</t>
  </si>
  <si>
    <t>B1809236</t>
  </si>
  <si>
    <t>Nguyen Minh</t>
  </si>
  <si>
    <t xml:space="preserve">D </t>
  </si>
  <si>
    <t>B1609816</t>
  </si>
  <si>
    <t>Phan Thanh</t>
  </si>
  <si>
    <t>Giang</t>
  </si>
  <si>
    <t>DI16Z6A2</t>
  </si>
  <si>
    <t>Computer Science</t>
  </si>
  <si>
    <t>B+</t>
  </si>
  <si>
    <t>B1208601</t>
  </si>
  <si>
    <t>Ho Thi Hue</t>
  </si>
  <si>
    <t>Chi</t>
  </si>
  <si>
    <t>DI12Z6A2</t>
  </si>
  <si>
    <t>C</t>
  </si>
  <si>
    <t>B1505884</t>
  </si>
  <si>
    <t>Nguyen Duc</t>
  </si>
  <si>
    <t>Huy</t>
  </si>
  <si>
    <t>DI1596A2</t>
  </si>
  <si>
    <t>Software Engineering
Engineering</t>
  </si>
  <si>
    <t>B1807568</t>
  </si>
  <si>
    <t>Doan Nhat</t>
  </si>
  <si>
    <t>Linh</t>
  </si>
  <si>
    <t>DI18T9A1</t>
  </si>
  <si>
    <t>Computer Networks And Communication</t>
  </si>
  <si>
    <t>B1807555</t>
  </si>
  <si>
    <t>Nguyen Trong</t>
  </si>
  <si>
    <t>B1807569</t>
  </si>
  <si>
    <t>Nguyen Van</t>
  </si>
  <si>
    <t>D+</t>
  </si>
  <si>
    <t>B1807554</t>
  </si>
  <si>
    <t>Dinh Ho Trung</t>
  </si>
  <si>
    <t>Hau</t>
  </si>
  <si>
    <t>T200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</si>
</sst>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1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38"/>
    <col customWidth="1" min="8" max="8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>
        <v>7480201.0</v>
      </c>
      <c r="F2" s="2" t="s">
        <v>14</v>
      </c>
      <c r="G2" s="2" t="s">
        <v>15</v>
      </c>
      <c r="H2" s="2" t="s">
        <v>16</v>
      </c>
      <c r="I2" s="2">
        <v>2.0</v>
      </c>
      <c r="J2" s="2" t="s">
        <v>17</v>
      </c>
    </row>
    <row r="3" ht="34.5" customHeight="1">
      <c r="A3" s="2" t="s">
        <v>18</v>
      </c>
      <c r="B3" s="2" t="s">
        <v>19</v>
      </c>
      <c r="C3" s="2" t="s">
        <v>20</v>
      </c>
      <c r="D3" s="2" t="s">
        <v>21</v>
      </c>
      <c r="E3" s="2">
        <v>7480201.0</v>
      </c>
      <c r="F3" s="2" t="s">
        <v>14</v>
      </c>
      <c r="G3" s="2" t="s">
        <v>22</v>
      </c>
      <c r="H3" s="2" t="s">
        <v>23</v>
      </c>
      <c r="I3" s="2">
        <v>3.0</v>
      </c>
      <c r="J3" s="2" t="s">
        <v>17</v>
      </c>
    </row>
    <row r="4">
      <c r="A4" s="2" t="s">
        <v>24</v>
      </c>
      <c r="B4" s="2" t="s">
        <v>25</v>
      </c>
      <c r="C4" s="2" t="s">
        <v>26</v>
      </c>
      <c r="D4" s="2" t="s">
        <v>27</v>
      </c>
      <c r="E4" s="2">
        <v>7480201.0</v>
      </c>
      <c r="F4" s="2" t="s">
        <v>14</v>
      </c>
      <c r="G4" s="2" t="s">
        <v>15</v>
      </c>
      <c r="H4" s="2" t="s">
        <v>16</v>
      </c>
      <c r="I4" s="2">
        <v>2.0</v>
      </c>
      <c r="J4" s="2" t="s">
        <v>28</v>
      </c>
    </row>
    <row r="5">
      <c r="A5" s="2" t="s">
        <v>29</v>
      </c>
      <c r="B5" s="2" t="s">
        <v>30</v>
      </c>
      <c r="C5" s="2" t="s">
        <v>31</v>
      </c>
      <c r="D5" s="2" t="s">
        <v>27</v>
      </c>
      <c r="E5" s="2">
        <v>7480201.0</v>
      </c>
      <c r="F5" s="2" t="s">
        <v>14</v>
      </c>
      <c r="G5" s="2" t="s">
        <v>15</v>
      </c>
      <c r="H5" s="2" t="s">
        <v>16</v>
      </c>
      <c r="I5" s="2">
        <v>2.0</v>
      </c>
      <c r="J5" s="2" t="s">
        <v>32</v>
      </c>
    </row>
    <row r="6">
      <c r="A6" s="2" t="s">
        <v>29</v>
      </c>
      <c r="B6" s="2" t="s">
        <v>30</v>
      </c>
      <c r="C6" s="2" t="s">
        <v>31</v>
      </c>
      <c r="D6" s="2" t="s">
        <v>27</v>
      </c>
      <c r="E6" s="2">
        <v>7480201.0</v>
      </c>
      <c r="F6" s="2" t="s">
        <v>14</v>
      </c>
      <c r="G6" s="2" t="s">
        <v>22</v>
      </c>
      <c r="H6" s="2" t="s">
        <v>23</v>
      </c>
      <c r="I6" s="2">
        <v>3.0</v>
      </c>
      <c r="J6" s="2" t="s">
        <v>33</v>
      </c>
    </row>
    <row r="7">
      <c r="A7" s="2" t="s">
        <v>34</v>
      </c>
      <c r="B7" s="2" t="s">
        <v>35</v>
      </c>
      <c r="C7" s="2" t="s">
        <v>36</v>
      </c>
      <c r="D7" s="2" t="s">
        <v>37</v>
      </c>
      <c r="E7" s="2">
        <v>7480201.0</v>
      </c>
      <c r="F7" s="2" t="s">
        <v>14</v>
      </c>
      <c r="G7" s="2" t="s">
        <v>15</v>
      </c>
      <c r="H7" s="2" t="s">
        <v>16</v>
      </c>
      <c r="I7" s="2">
        <v>2.0</v>
      </c>
      <c r="J7" s="2" t="s">
        <v>17</v>
      </c>
    </row>
    <row r="8">
      <c r="A8" s="2" t="s">
        <v>38</v>
      </c>
      <c r="B8" s="2" t="s">
        <v>39</v>
      </c>
      <c r="C8" s="2" t="s">
        <v>40</v>
      </c>
      <c r="D8" s="2" t="s">
        <v>21</v>
      </c>
      <c r="E8" s="2">
        <v>7480201.0</v>
      </c>
      <c r="F8" s="2" t="s">
        <v>14</v>
      </c>
      <c r="G8" s="2" t="s">
        <v>41</v>
      </c>
      <c r="H8" s="2" t="s">
        <v>42</v>
      </c>
      <c r="I8" s="2">
        <v>4.0</v>
      </c>
      <c r="J8" s="2" t="s">
        <v>17</v>
      </c>
    </row>
    <row r="9">
      <c r="A9" s="2" t="s">
        <v>43</v>
      </c>
      <c r="B9" s="2" t="s">
        <v>44</v>
      </c>
      <c r="C9" s="2" t="s">
        <v>45</v>
      </c>
      <c r="D9" s="2" t="s">
        <v>21</v>
      </c>
      <c r="E9" s="2">
        <v>7480201.0</v>
      </c>
      <c r="F9" s="2" t="s">
        <v>14</v>
      </c>
      <c r="G9" s="2" t="s">
        <v>22</v>
      </c>
      <c r="H9" s="2" t="s">
        <v>23</v>
      </c>
      <c r="I9" s="2">
        <v>3.0</v>
      </c>
      <c r="J9" s="2" t="s">
        <v>17</v>
      </c>
    </row>
    <row r="10">
      <c r="A10" s="2" t="s">
        <v>46</v>
      </c>
      <c r="B10" s="2" t="s">
        <v>47</v>
      </c>
      <c r="C10" s="2" t="s">
        <v>48</v>
      </c>
      <c r="D10" s="2" t="s">
        <v>49</v>
      </c>
      <c r="E10" s="2">
        <v>7480201.0</v>
      </c>
      <c r="F10" s="2" t="s">
        <v>14</v>
      </c>
      <c r="G10" s="2" t="s">
        <v>22</v>
      </c>
      <c r="H10" s="2" t="s">
        <v>23</v>
      </c>
      <c r="I10" s="2">
        <v>3.0</v>
      </c>
      <c r="J10" s="2" t="s">
        <v>28</v>
      </c>
    </row>
    <row r="11">
      <c r="A11" s="2" t="s">
        <v>50</v>
      </c>
      <c r="B11" s="2" t="s">
        <v>51</v>
      </c>
      <c r="C11" s="2" t="s">
        <v>45</v>
      </c>
      <c r="D11" s="2" t="s">
        <v>21</v>
      </c>
      <c r="E11" s="2">
        <v>7480201.0</v>
      </c>
      <c r="F11" s="2" t="s">
        <v>14</v>
      </c>
      <c r="G11" s="2" t="s">
        <v>15</v>
      </c>
      <c r="H11" s="2" t="s">
        <v>16</v>
      </c>
      <c r="I11" s="2">
        <v>2.0</v>
      </c>
      <c r="J11" s="2" t="s">
        <v>52</v>
      </c>
    </row>
    <row r="12">
      <c r="A12" s="2" t="s">
        <v>53</v>
      </c>
      <c r="B12" s="2" t="s">
        <v>54</v>
      </c>
      <c r="C12" s="2" t="s">
        <v>55</v>
      </c>
      <c r="D12" s="2" t="s">
        <v>56</v>
      </c>
      <c r="E12" s="2">
        <v>7480101.0</v>
      </c>
      <c r="F12" s="2" t="s">
        <v>57</v>
      </c>
      <c r="G12" s="2" t="s">
        <v>22</v>
      </c>
      <c r="H12" s="2" t="s">
        <v>23</v>
      </c>
      <c r="I12" s="2">
        <v>3.0</v>
      </c>
      <c r="J12" s="2" t="s">
        <v>58</v>
      </c>
    </row>
    <row r="13" ht="20.25" customHeight="1">
      <c r="A13" s="2" t="s">
        <v>59</v>
      </c>
      <c r="B13" s="2" t="s">
        <v>60</v>
      </c>
      <c r="C13" s="2" t="s">
        <v>61</v>
      </c>
      <c r="D13" s="2" t="s">
        <v>62</v>
      </c>
      <c r="E13" s="2">
        <v>7480101.0</v>
      </c>
      <c r="F13" s="2" t="s">
        <v>57</v>
      </c>
      <c r="G13" s="2" t="s">
        <v>15</v>
      </c>
      <c r="H13" s="2" t="s">
        <v>16</v>
      </c>
      <c r="I13" s="2">
        <v>2.0</v>
      </c>
      <c r="J13" s="2" t="s">
        <v>63</v>
      </c>
    </row>
    <row r="14" ht="29.25" customHeight="1">
      <c r="A14" s="2" t="s">
        <v>64</v>
      </c>
      <c r="B14" s="2" t="s">
        <v>65</v>
      </c>
      <c r="C14" s="2" t="s">
        <v>66</v>
      </c>
      <c r="D14" s="2" t="s">
        <v>67</v>
      </c>
      <c r="E14" s="2">
        <v>7480103.0</v>
      </c>
      <c r="F14" s="2" t="s">
        <v>68</v>
      </c>
      <c r="G14" s="2" t="s">
        <v>22</v>
      </c>
      <c r="H14" s="2" t="s">
        <v>23</v>
      </c>
      <c r="I14" s="2">
        <v>3.0</v>
      </c>
      <c r="J14" s="2" t="s">
        <v>58</v>
      </c>
    </row>
    <row r="15" ht="33.75" customHeight="1">
      <c r="A15" s="2" t="s">
        <v>69</v>
      </c>
      <c r="B15" s="2" t="s">
        <v>70</v>
      </c>
      <c r="C15" s="2" t="s">
        <v>71</v>
      </c>
      <c r="D15" s="2" t="s">
        <v>72</v>
      </c>
      <c r="E15" s="2">
        <v>7480102.0</v>
      </c>
      <c r="F15" s="2" t="s">
        <v>73</v>
      </c>
      <c r="G15" s="2" t="s">
        <v>41</v>
      </c>
      <c r="H15" s="2" t="s">
        <v>42</v>
      </c>
      <c r="I15" s="2">
        <v>4.0</v>
      </c>
      <c r="J15" s="2" t="s">
        <v>63</v>
      </c>
    </row>
    <row r="16">
      <c r="A16" s="2" t="s">
        <v>74</v>
      </c>
      <c r="B16" s="2" t="s">
        <v>75</v>
      </c>
      <c r="C16" s="2" t="s">
        <v>45</v>
      </c>
      <c r="D16" s="2" t="s">
        <v>72</v>
      </c>
      <c r="E16" s="2">
        <v>7480102.0</v>
      </c>
      <c r="F16" s="2" t="s">
        <v>73</v>
      </c>
      <c r="G16" s="2" t="s">
        <v>22</v>
      </c>
      <c r="H16" s="2" t="s">
        <v>23</v>
      </c>
      <c r="I16" s="2">
        <v>3.0</v>
      </c>
      <c r="J16" s="2" t="s">
        <v>28</v>
      </c>
    </row>
    <row r="17">
      <c r="A17" s="2" t="s">
        <v>76</v>
      </c>
      <c r="B17" s="2" t="s">
        <v>77</v>
      </c>
      <c r="C17" s="2" t="s">
        <v>71</v>
      </c>
      <c r="D17" s="2" t="s">
        <v>72</v>
      </c>
      <c r="E17" s="2">
        <v>7480102.0</v>
      </c>
      <c r="F17" s="2" t="s">
        <v>73</v>
      </c>
      <c r="G17" s="2" t="s">
        <v>41</v>
      </c>
      <c r="H17" s="2" t="s">
        <v>42</v>
      </c>
      <c r="I17" s="2">
        <v>4.0</v>
      </c>
      <c r="J17" s="2" t="s">
        <v>78</v>
      </c>
    </row>
    <row r="18">
      <c r="A18" s="2" t="s">
        <v>79</v>
      </c>
      <c r="B18" s="2" t="s">
        <v>80</v>
      </c>
      <c r="C18" s="2" t="s">
        <v>81</v>
      </c>
      <c r="D18" s="2" t="s">
        <v>72</v>
      </c>
      <c r="E18" s="2">
        <v>7480102.0</v>
      </c>
      <c r="F18" s="2" t="s">
        <v>73</v>
      </c>
      <c r="G18" s="2" t="s">
        <v>41</v>
      </c>
      <c r="H18" s="2" t="s">
        <v>42</v>
      </c>
      <c r="I18" s="2">
        <v>4.0</v>
      </c>
      <c r="J18" s="2" t="s">
        <v>63</v>
      </c>
    </row>
    <row r="19">
      <c r="A19" s="2" t="s">
        <v>74</v>
      </c>
      <c r="B19" s="2" t="s">
        <v>75</v>
      </c>
      <c r="C19" s="2" t="s">
        <v>45</v>
      </c>
      <c r="D19" s="2" t="s">
        <v>72</v>
      </c>
      <c r="E19" s="2">
        <v>7480102.0</v>
      </c>
      <c r="F19" s="2" t="s">
        <v>73</v>
      </c>
      <c r="G19" s="2" t="s">
        <v>82</v>
      </c>
      <c r="H19" s="2" t="s">
        <v>42</v>
      </c>
      <c r="I19" s="2">
        <v>4.0</v>
      </c>
      <c r="J19" s="2" t="s">
        <v>28</v>
      </c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IFERROR(__xludf.DUMMYFUNCTION("QUERY(Tonghop!A:J,""SELECT A,B,C WHERE F='Information Technology'"",1)"),"MSSV")</f>
        <v>MSSV</v>
      </c>
      <c r="B1" s="3" t="str">
        <f>IFERROR(__xludf.DUMMYFUNCTION("""COMPUTED_VALUE"""),"Ho")</f>
        <v>Ho</v>
      </c>
      <c r="C1" s="3" t="str">
        <f>IFERROR(__xludf.DUMMYFUNCTION("""COMPUTED_VALUE"""),"Ten")</f>
        <v>Ten</v>
      </c>
    </row>
    <row r="2">
      <c r="A2" s="7" t="str">
        <f>IFERROR(__xludf.DUMMYFUNCTION("""COMPUTED_VALUE"""),"S1800005")</f>
        <v>S1800005</v>
      </c>
      <c r="B2" s="7" t="str">
        <f>IFERROR(__xludf.DUMMYFUNCTION("""COMPUTED_VALUE"""),"Le Duy")</f>
        <v>Le Duy</v>
      </c>
      <c r="C2" s="7" t="str">
        <f>IFERROR(__xludf.DUMMYFUNCTION("""COMPUTED_VALUE"""),"Anh")</f>
        <v>Anh</v>
      </c>
    </row>
    <row r="3">
      <c r="A3" s="7" t="str">
        <f>IFERROR(__xludf.DUMMYFUNCTION("""COMPUTED_VALUE"""),"B1706575")</f>
        <v>B1706575</v>
      </c>
      <c r="B3" s="7" t="str">
        <f>IFERROR(__xludf.DUMMYFUNCTION("""COMPUTED_VALUE"""),"Pham Hai")</f>
        <v>Pham Hai</v>
      </c>
      <c r="C3" s="7" t="str">
        <f>IFERROR(__xludf.DUMMYFUNCTION("""COMPUTED_VALUE"""),"Do")</f>
        <v>Do</v>
      </c>
    </row>
    <row r="4">
      <c r="A4" s="7" t="str">
        <f>IFERROR(__xludf.DUMMYFUNCTION("""COMPUTED_VALUE"""),"B1706487")</f>
        <v>B1706487</v>
      </c>
      <c r="B4" s="7" t="str">
        <f>IFERROR(__xludf.DUMMYFUNCTION("""COMPUTED_VALUE"""),"Nguyen Tran")</f>
        <v>Nguyen Tran</v>
      </c>
      <c r="C4" s="7" t="str">
        <f>IFERROR(__xludf.DUMMYFUNCTION("""COMPUTED_VALUE"""),"Le")</f>
        <v>Le</v>
      </c>
    </row>
    <row r="5">
      <c r="A5" s="7" t="str">
        <f>IFERROR(__xludf.DUMMYFUNCTION("""COMPUTED_VALUE"""),"B2000000")</f>
        <v>B2000000</v>
      </c>
      <c r="B5" s="7" t="str">
        <f>IFERROR(__xludf.DUMMYFUNCTION("""COMPUTED_VALUE"""),"Mai Thanh")</f>
        <v>Mai Thanh</v>
      </c>
      <c r="C5" s="7" t="str">
        <f>IFERROR(__xludf.DUMMYFUNCTION("""COMPUTED_VALUE"""),"Dat")</f>
        <v>Dat</v>
      </c>
    </row>
    <row r="6">
      <c r="A6" s="7" t="str">
        <f>IFERROR(__xludf.DUMMYFUNCTION("""COMPUTED_VALUE"""),"B2000000")</f>
        <v>B2000000</v>
      </c>
      <c r="B6" s="7" t="str">
        <f>IFERROR(__xludf.DUMMYFUNCTION("""COMPUTED_VALUE"""),"Mai Thanh")</f>
        <v>Mai Thanh</v>
      </c>
      <c r="C6" s="7" t="str">
        <f>IFERROR(__xludf.DUMMYFUNCTION("""COMPUTED_VALUE"""),"Dat")</f>
        <v>Dat</v>
      </c>
    </row>
    <row r="7">
      <c r="A7" s="7" t="str">
        <f>IFERROR(__xludf.DUMMYFUNCTION("""COMPUTED_VALUE"""),"B1809110")</f>
        <v>B1809110</v>
      </c>
      <c r="B7" s="7" t="str">
        <f>IFERROR(__xludf.DUMMYFUNCTION("""COMPUTED_VALUE"""),"Thi")</f>
        <v>Thi</v>
      </c>
      <c r="C7" s="7" t="str">
        <f>IFERROR(__xludf.DUMMYFUNCTION("""COMPUTED_VALUE"""),"Dui")</f>
        <v>Dui</v>
      </c>
    </row>
    <row r="8">
      <c r="A8" s="7" t="str">
        <f>IFERROR(__xludf.DUMMYFUNCTION("""COMPUTED_VALUE"""),"B1809222")</f>
        <v>B1809222</v>
      </c>
      <c r="B8" s="7" t="str">
        <f>IFERROR(__xludf.DUMMYFUNCTION("""COMPUTED_VALUE"""),"Nguyen ")</f>
        <v>Nguyen </v>
      </c>
      <c r="C8" s="7" t="str">
        <f>IFERROR(__xludf.DUMMYFUNCTION("""COMPUTED_VALUE"""),"Duy")</f>
        <v>Duy</v>
      </c>
    </row>
    <row r="9">
      <c r="A9" s="7" t="str">
        <f>IFERROR(__xludf.DUMMYFUNCTION("""COMPUTED_VALUE"""),"B1706582")</f>
        <v>B1706582</v>
      </c>
      <c r="B9" s="7" t="str">
        <f>IFERROR(__xludf.DUMMYFUNCTION("""COMPUTED_VALUE"""),"Le Trong")</f>
        <v>Le Trong</v>
      </c>
      <c r="C9" s="7" t="str">
        <f>IFERROR(__xludf.DUMMYFUNCTION("""COMPUTED_VALUE"""),"Hieu")</f>
        <v>Hieu</v>
      </c>
    </row>
    <row r="10">
      <c r="A10" s="7" t="str">
        <f>IFERROR(__xludf.DUMMYFUNCTION("""COMPUTED_VALUE"""),"B1809497")</f>
        <v>B1809497</v>
      </c>
      <c r="B10" s="7" t="str">
        <f>IFERROR(__xludf.DUMMYFUNCTION("""COMPUTED_VALUE"""),"Luong Thi")</f>
        <v>Luong Thi</v>
      </c>
      <c r="C10" s="7" t="str">
        <f>IFERROR(__xludf.DUMMYFUNCTION("""COMPUTED_VALUE"""),"Ni")</f>
        <v>Ni</v>
      </c>
    </row>
    <row r="11">
      <c r="A11" s="7" t="str">
        <f>IFERROR(__xludf.DUMMYFUNCTION("""COMPUTED_VALUE"""),"B1809236")</f>
        <v>B1809236</v>
      </c>
      <c r="B11" s="7" t="str">
        <f>IFERROR(__xludf.DUMMYFUNCTION("""COMPUTED_VALUE"""),"Nguyen Minh")</f>
        <v>Nguyen Minh</v>
      </c>
      <c r="C11" s="7" t="str">
        <f>IFERROR(__xludf.DUMMYFUNCTION("""COMPUTED_VALUE"""),"Hieu")</f>
        <v>Hieu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88"/>
  </cols>
  <sheetData>
    <row r="1">
      <c r="A1" s="5" t="str">
        <f>IFERROR(__xludf.DUMMYFUNCTION("QUERY(Tonghop!A:J, ""SELECT A,B,C,D,H WHERE H='Fundamentials of Information Technology'"",1)"),"MSSV")</f>
        <v>MSSV</v>
      </c>
      <c r="B1" s="5" t="str">
        <f>IFERROR(__xludf.DUMMYFUNCTION("""COMPUTED_VALUE"""),"Ho")</f>
        <v>Ho</v>
      </c>
      <c r="C1" s="5" t="str">
        <f>IFERROR(__xludf.DUMMYFUNCTION("""COMPUTED_VALUE"""),"Ten")</f>
        <v>Ten</v>
      </c>
      <c r="D1" s="5" t="str">
        <f>IFERROR(__xludf.DUMMYFUNCTION("""COMPUTED_VALUE"""),"Ten lop")</f>
        <v>Ten lop</v>
      </c>
      <c r="E1" s="5" t="str">
        <f>IFERROR(__xludf.DUMMYFUNCTION("""COMPUTED_VALUE"""),"Ten MH")</f>
        <v>Ten MH</v>
      </c>
    </row>
    <row r="2">
      <c r="A2" s="8" t="str">
        <f>IFERROR(__xludf.DUMMYFUNCTION("""COMPUTED_VALUE"""),"B1809222")</f>
        <v>B1809222</v>
      </c>
      <c r="B2" s="8" t="str">
        <f>IFERROR(__xludf.DUMMYFUNCTION("""COMPUTED_VALUE"""),"Nguyen ")</f>
        <v>Nguyen </v>
      </c>
      <c r="C2" s="8" t="str">
        <f>IFERROR(__xludf.DUMMYFUNCTION("""COMPUTED_VALUE"""),"Duy")</f>
        <v>Duy</v>
      </c>
      <c r="D2" s="8" t="str">
        <f>IFERROR(__xludf.DUMMYFUNCTION("""COMPUTED_VALUE"""),"DI19V7A2")</f>
        <v>DI19V7A2</v>
      </c>
      <c r="E2" s="6" t="str">
        <f>IFERROR(__xludf.DUMMYFUNCTION("""COMPUTED_VALUE"""),"Fundamentials of Information Technology")</f>
        <v>Fundamentials of Information Technology</v>
      </c>
    </row>
    <row r="3">
      <c r="A3" s="8" t="str">
        <f>IFERROR(__xludf.DUMMYFUNCTION("""COMPUTED_VALUE"""),"B1807568")</f>
        <v>B1807568</v>
      </c>
      <c r="B3" s="8" t="str">
        <f>IFERROR(__xludf.DUMMYFUNCTION("""COMPUTED_VALUE"""),"Doan Nhat")</f>
        <v>Doan Nhat</v>
      </c>
      <c r="C3" s="8" t="str">
        <f>IFERROR(__xludf.DUMMYFUNCTION("""COMPUTED_VALUE"""),"Linh")</f>
        <v>Linh</v>
      </c>
      <c r="D3" s="8" t="str">
        <f>IFERROR(__xludf.DUMMYFUNCTION("""COMPUTED_VALUE"""),"DI18T9A1")</f>
        <v>DI18T9A1</v>
      </c>
      <c r="E3" s="6" t="str">
        <f>IFERROR(__xludf.DUMMYFUNCTION("""COMPUTED_VALUE"""),"Fundamentials of Information Technology")</f>
        <v>Fundamentials of Information Technology</v>
      </c>
    </row>
    <row r="4">
      <c r="A4" s="8" t="str">
        <f>IFERROR(__xludf.DUMMYFUNCTION("""COMPUTED_VALUE"""),"B1807569")</f>
        <v>B1807569</v>
      </c>
      <c r="B4" s="8" t="str">
        <f>IFERROR(__xludf.DUMMYFUNCTION("""COMPUTED_VALUE"""),"Nguyen Van")</f>
        <v>Nguyen Van</v>
      </c>
      <c r="C4" s="8" t="str">
        <f>IFERROR(__xludf.DUMMYFUNCTION("""COMPUTED_VALUE"""),"Linh")</f>
        <v>Linh</v>
      </c>
      <c r="D4" s="8" t="str">
        <f>IFERROR(__xludf.DUMMYFUNCTION("""COMPUTED_VALUE"""),"DI18T9A1")</f>
        <v>DI18T9A1</v>
      </c>
      <c r="E4" s="6" t="str">
        <f>IFERROR(__xludf.DUMMYFUNCTION("""COMPUTED_VALUE"""),"Fundamentials of Information Technology")</f>
        <v>Fundamentials of Information Technology</v>
      </c>
    </row>
    <row r="5">
      <c r="A5" s="8" t="str">
        <f>IFERROR(__xludf.DUMMYFUNCTION("""COMPUTED_VALUE"""),"B1807554")</f>
        <v>B1807554</v>
      </c>
      <c r="B5" s="8" t="str">
        <f>IFERROR(__xludf.DUMMYFUNCTION("""COMPUTED_VALUE"""),"Dinh Ho Trung")</f>
        <v>Dinh Ho Trung</v>
      </c>
      <c r="C5" s="8" t="str">
        <f>IFERROR(__xludf.DUMMYFUNCTION("""COMPUTED_VALUE"""),"Hau")</f>
        <v>Hau</v>
      </c>
      <c r="D5" s="8" t="str">
        <f>IFERROR(__xludf.DUMMYFUNCTION("""COMPUTED_VALUE"""),"DI18T9A1")</f>
        <v>DI18T9A1</v>
      </c>
      <c r="E5" s="6" t="str">
        <f>IFERROR(__xludf.DUMMYFUNCTION("""COMPUTED_VALUE"""),"Fundamentials of Information Technology")</f>
        <v>Fundamentials of Information Technology</v>
      </c>
    </row>
    <row r="6">
      <c r="A6" s="8" t="str">
        <f>IFERROR(__xludf.DUMMYFUNCTION("""COMPUTED_VALUE"""),"B1807555")</f>
        <v>B1807555</v>
      </c>
      <c r="B6" s="8" t="str">
        <f>IFERROR(__xludf.DUMMYFUNCTION("""COMPUTED_VALUE"""),"Nguyen Trong")</f>
        <v>Nguyen Trong</v>
      </c>
      <c r="C6" s="8" t="str">
        <f>IFERROR(__xludf.DUMMYFUNCTION("""COMPUTED_VALUE"""),"Hieu")</f>
        <v>Hieu</v>
      </c>
      <c r="D6" s="8" t="str">
        <f>IFERROR(__xludf.DUMMYFUNCTION("""COMPUTED_VALUE"""),"DI18T9A1")</f>
        <v>DI18T9A1</v>
      </c>
      <c r="E6" s="6" t="str">
        <f>IFERROR(__xludf.DUMMYFUNCTION("""COMPUTED_VALUE"""),"Fundamentials of Information Technology")</f>
        <v>Fundamentials of Information Technology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0"/>
  </cols>
  <sheetData>
    <row r="1">
      <c r="A1" s="4" t="str">
        <f>IFERROR(__xludf.DUMMYFUNCTION("QUERY(Tonghop!A:J,""SELECT A,B,C,H,J WHERE H='System Administration' AND (J CONTAINS 'D' OR J CONTAINS 'F')"",1)"),"MSSV")</f>
        <v>MSSV</v>
      </c>
      <c r="B1" s="4" t="str">
        <f>IFERROR(__xludf.DUMMYFUNCTION("""COMPUTED_VALUE"""),"Ho")</f>
        <v>Ho</v>
      </c>
      <c r="C1" s="4" t="str">
        <f>IFERROR(__xludf.DUMMYFUNCTION("""COMPUTED_VALUE"""),"Ten")</f>
        <v>Ten</v>
      </c>
      <c r="D1" s="4" t="str">
        <f>IFERROR(__xludf.DUMMYFUNCTION("""COMPUTED_VALUE"""),"Ten MH")</f>
        <v>Ten MH</v>
      </c>
      <c r="E1" s="4" t="str">
        <f>IFERROR(__xludf.DUMMYFUNCTION("""COMPUTED_VALUE"""),"Diem")</f>
        <v>Diem</v>
      </c>
    </row>
    <row r="2">
      <c r="A2" s="6" t="str">
        <f>IFERROR(__xludf.DUMMYFUNCTION("""COMPUTED_VALUE"""),"B2000000")</f>
        <v>B2000000</v>
      </c>
      <c r="B2" s="6" t="str">
        <f>IFERROR(__xludf.DUMMYFUNCTION("""COMPUTED_VALUE"""),"Mai Thanh")</f>
        <v>Mai Thanh</v>
      </c>
      <c r="C2" s="6" t="str">
        <f>IFERROR(__xludf.DUMMYFUNCTION("""COMPUTED_VALUE"""),"Dat")</f>
        <v>Dat</v>
      </c>
      <c r="D2" s="6" t="str">
        <f>IFERROR(__xludf.DUMMYFUNCTION("""COMPUTED_VALUE"""),"System Administration")</f>
        <v>System Administration</v>
      </c>
      <c r="E2" s="6" t="str">
        <f>IFERROR(__xludf.DUMMYFUNCTION("""COMPUTED_VALUE"""),"F")</f>
        <v>F</v>
      </c>
    </row>
    <row r="3">
      <c r="A3" s="6" t="str">
        <f>IFERROR(__xludf.DUMMYFUNCTION("""COMPUTED_VALUE"""),"B1809236")</f>
        <v>B1809236</v>
      </c>
      <c r="B3" s="6" t="str">
        <f>IFERROR(__xludf.DUMMYFUNCTION("""COMPUTED_VALUE"""),"Nguyen Minh")</f>
        <v>Nguyen Minh</v>
      </c>
      <c r="C3" s="6" t="str">
        <f>IFERROR(__xludf.DUMMYFUNCTION("""COMPUTED_VALUE"""),"Hieu")</f>
        <v>Hieu</v>
      </c>
      <c r="D3" s="6" t="str">
        <f>IFERROR(__xludf.DUMMYFUNCTION("""COMPUTED_VALUE"""),"System Administration")</f>
        <v>System Administration</v>
      </c>
      <c r="E3" s="6" t="str">
        <f>IFERROR(__xludf.DUMMYFUNCTION("""COMPUTED_VALUE"""),"D ")</f>
        <v>D 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0"/>
  </cols>
  <sheetData>
    <row r="1">
      <c r="A1" s="11" t="str">
        <f>IFERROR(__xludf.DUMMYFUNCTION("QUERY(QUERY(Tonghop!A:J,""SELECT A,B,C,F,COUNT(H) GROUP BY A,B,C,F LABEL COUNT(H) 'Số môn học'"",1),""SELECT * WHERE Col5 &gt; 1"",1)"),"MSSV")</f>
        <v>MSSV</v>
      </c>
      <c r="B1" s="11" t="str">
        <f>IFERROR(__xludf.DUMMYFUNCTION("""COMPUTED_VALUE"""),"Ho")</f>
        <v>Ho</v>
      </c>
      <c r="C1" s="11" t="str">
        <f>IFERROR(__xludf.DUMMYFUNCTION("""COMPUTED_VALUE"""),"Ten")</f>
        <v>Ten</v>
      </c>
      <c r="D1" s="11" t="str">
        <f>IFERROR(__xludf.DUMMYFUNCTION("""COMPUTED_VALUE"""),"Ten nganh")</f>
        <v>Ten nganh</v>
      </c>
      <c r="E1" s="11" t="str">
        <f>IFERROR(__xludf.DUMMYFUNCTION("""COMPUTED_VALUE"""),"Số môn học")</f>
        <v>Số môn học</v>
      </c>
    </row>
    <row r="2">
      <c r="A2" s="6" t="str">
        <f>IFERROR(__xludf.DUMMYFUNCTION("""COMPUTED_VALUE"""),"B1807555")</f>
        <v>B1807555</v>
      </c>
      <c r="B2" s="6" t="str">
        <f>IFERROR(__xludf.DUMMYFUNCTION("""COMPUTED_VALUE"""),"Nguyen Trong")</f>
        <v>Nguyen Trong</v>
      </c>
      <c r="C2" s="6" t="str">
        <f>IFERROR(__xludf.DUMMYFUNCTION("""COMPUTED_VALUE"""),"Hieu")</f>
        <v>Hieu</v>
      </c>
      <c r="D2" s="6" t="str">
        <f>IFERROR(__xludf.DUMMYFUNCTION("""COMPUTED_VALUE"""),"Computer Networks And Communication")</f>
        <v>Computer Networks And Communication</v>
      </c>
      <c r="E2" s="6">
        <f>IFERROR(__xludf.DUMMYFUNCTION("""COMPUTED_VALUE"""),2.0)</f>
        <v>2</v>
      </c>
    </row>
    <row r="3">
      <c r="A3" s="6" t="str">
        <f>IFERROR(__xludf.DUMMYFUNCTION("""COMPUTED_VALUE"""),"B2000000")</f>
        <v>B2000000</v>
      </c>
      <c r="B3" s="6" t="str">
        <f>IFERROR(__xludf.DUMMYFUNCTION("""COMPUTED_VALUE"""),"Mai Thanh")</f>
        <v>Mai Thanh</v>
      </c>
      <c r="C3" s="6" t="str">
        <f>IFERROR(__xludf.DUMMYFUNCTION("""COMPUTED_VALUE"""),"Dat")</f>
        <v>Dat</v>
      </c>
      <c r="D3" s="6" t="str">
        <f>IFERROR(__xludf.DUMMYFUNCTION("""COMPUTED_VALUE"""),"Information Technology")</f>
        <v>Information Technology</v>
      </c>
      <c r="E3" s="6">
        <f>IFERROR(__xludf.DUMMYFUNCTION("""COMPUTED_VALUE"""),2.0)</f>
        <v>2</v>
      </c>
    </row>
  </sheetData>
  <drawing r:id="rId1"/>
</worksheet>
</file>